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ost build-up" sheetId="2" state="visible" r:id="rId2"/>
    <sheet name="Sensitivity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FF3CD"/>
      </patternFill>
    </fill>
    <fill>
      <patternFill patternType="solid">
        <fgColor rgb="00E7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78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Basis / source</t>
        </is>
      </c>
    </row>
    <row r="2">
      <c r="A2" s="2" t="inlineStr">
        <is>
          <t>MATERIAL PRICES</t>
        </is>
      </c>
      <c r="C2" t="inlineStr"/>
      <c r="D2" s="3" t="inlineStr"/>
    </row>
    <row r="3">
      <c r="A3" t="inlineStr">
        <is>
          <t>Base paper price</t>
        </is>
      </c>
      <c r="B3" s="4" t="n">
        <v>1.2</v>
      </c>
      <c r="C3" t="inlineStr">
        <is>
          <t>USD/kg</t>
        </is>
      </c>
      <c r="D3" s="3" t="inlineStr">
        <is>
          <t>ASSUMPTION — commodity coated/uncoated paper stock; replace with a supplier quote</t>
        </is>
      </c>
    </row>
    <row r="4">
      <c r="A4" t="inlineStr">
        <is>
          <t>Binder price</t>
        </is>
      </c>
      <c r="B4" s="4" t="n">
        <v>4</v>
      </c>
      <c r="C4" t="inlineStr">
        <is>
          <t>USD/kg</t>
        </is>
      </c>
      <c r="D4" s="3" t="inlineStr">
        <is>
          <t>ASSUMPTION — spans PEG / shellac / latex; replace per binder chosen</t>
        </is>
      </c>
    </row>
    <row r="5">
      <c r="A5" t="inlineStr">
        <is>
          <t>1-MCP/alpha-CD complex price</t>
        </is>
      </c>
      <c r="B5" s="4" t="n">
        <v>120</v>
      </c>
      <c r="C5" t="inlineStr">
        <is>
          <t>USD/kg</t>
        </is>
      </c>
      <c r="D5" s="3" t="inlineStr">
        <is>
          <t>ASSUMPTION — speciality complex, NOT verified. Dominant uncertainty in this model</t>
        </is>
      </c>
    </row>
    <row r="6">
      <c r="A6" t="inlineStr">
        <is>
          <t>Protective overwrap price</t>
        </is>
      </c>
      <c r="B6" s="4" t="n">
        <v>0.02</v>
      </c>
      <c r="C6" t="inlineStr">
        <is>
          <t>USD/insert</t>
        </is>
      </c>
      <c r="D6" s="3" t="inlineStr">
        <is>
          <t>ASSUMPTION — barrier film pouch</t>
        </is>
      </c>
    </row>
    <row r="7">
      <c r="A7" s="2" t="inlineStr"/>
      <c r="C7" t="inlineStr"/>
      <c r="D7" s="3" t="inlineStr"/>
    </row>
    <row r="8">
      <c r="A8" s="2" t="inlineStr">
        <is>
          <t>PRODUCT SPECIFICATION</t>
        </is>
      </c>
      <c r="C8" t="inlineStr"/>
      <c r="D8" s="3" t="inlineStr"/>
    </row>
    <row r="9">
      <c r="A9" t="inlineStr">
        <is>
          <t>Base paper grammage</t>
        </is>
      </c>
      <c r="B9" s="4" t="n">
        <v>120</v>
      </c>
      <c r="C9" t="inlineStr">
        <is>
          <t>g/m2</t>
        </is>
      </c>
      <c r="D9" s="3" t="inlineStr">
        <is>
          <t>Proposed starting range 80-200 (Section 9.2)</t>
        </is>
      </c>
    </row>
    <row r="10">
      <c r="A10" t="inlineStr">
        <is>
          <t>Total dry coat weight</t>
        </is>
      </c>
      <c r="B10" s="4" t="n">
        <v>10</v>
      </c>
      <c r="C10" t="inlineStr">
        <is>
          <t>g/m2</t>
        </is>
      </c>
      <c r="D10" s="3" t="inlineStr">
        <is>
          <t>Proposed starting range 4-20 (Section 9.2); no retrieved source reports this</t>
        </is>
      </c>
    </row>
    <row r="11">
      <c r="A11" t="inlineStr">
        <is>
          <t>Complex fraction of dry coating</t>
        </is>
      </c>
      <c r="B11" s="4" t="n">
        <v>0.25</v>
      </c>
      <c r="C11" t="inlineStr">
        <is>
          <t>w/w</t>
        </is>
      </c>
      <c r="D11" s="3" t="inlineStr">
        <is>
          <t>Proposed starting range 0.10-0.40</t>
        </is>
      </c>
    </row>
    <row r="12">
      <c r="A12" t="inlineStr">
        <is>
          <t>1-MCP content of complex</t>
        </is>
      </c>
      <c r="B12" s="4" t="n">
        <v>0.03</v>
      </c>
      <c r="C12" t="inlineStr">
        <is>
          <t>w/w</t>
        </is>
      </c>
      <c r="D12" s="3" t="inlineStr">
        <is>
          <t>ASSUMPTION — typical order for alpha-CD inclusion complexes; MUST be verified by assay</t>
        </is>
      </c>
    </row>
    <row r="13">
      <c r="A13" t="inlineStr">
        <is>
          <t>Insert area</t>
        </is>
      </c>
      <c r="B13" s="4" t="n">
        <v>0.02</v>
      </c>
      <c r="C13" t="inlineStr">
        <is>
          <t>m2</t>
        </is>
      </c>
      <c r="D13" s="3" t="inlineStr">
        <is>
          <t>ASSUMPTION — approx. 141 x 141 mm insert</t>
        </is>
      </c>
    </row>
    <row r="14">
      <c r="A14" s="2" t="inlineStr"/>
      <c r="C14" t="inlineStr"/>
      <c r="D14" s="3" t="inlineStr"/>
    </row>
    <row r="15">
      <c r="A15" s="2" t="inlineStr">
        <is>
          <t>CONVERSION AND OVERHEAD</t>
        </is>
      </c>
      <c r="C15" t="inlineStr"/>
      <c r="D15" s="3" t="inlineStr"/>
    </row>
    <row r="16">
      <c r="A16" t="inlineStr">
        <is>
          <t>Coating + drying cost</t>
        </is>
      </c>
      <c r="B16" s="4" t="n">
        <v>0.15</v>
      </c>
      <c r="C16" t="inlineStr">
        <is>
          <t>USD/m2</t>
        </is>
      </c>
      <c r="D16" s="3" t="inlineStr">
        <is>
          <t>ASSUMPTION — roll-to-roll converting; scale-sensitive</t>
        </is>
      </c>
    </row>
    <row r="17">
      <c r="A17" t="inlineStr">
        <is>
          <t>Converting/die-cutting cost</t>
        </is>
      </c>
      <c r="B17" s="4" t="n">
        <v>0.08</v>
      </c>
      <c r="C17" t="inlineStr">
        <is>
          <t>USD/m2</t>
        </is>
      </c>
      <c r="D17" s="3" t="inlineStr">
        <is>
          <t>ASSUMPTION</t>
        </is>
      </c>
    </row>
    <row r="18">
      <c r="A18" t="inlineStr">
        <is>
          <t>Quality control per insert</t>
        </is>
      </c>
      <c r="B18" s="4" t="n">
        <v>0.005</v>
      </c>
      <c r="C18" t="inlineStr">
        <is>
          <t>USD/insert</t>
        </is>
      </c>
      <c r="D18" s="3" t="inlineStr">
        <is>
          <t>ASSUMPTION — sampling-based release QC</t>
        </is>
      </c>
    </row>
    <row r="19">
      <c r="A19" t="inlineStr">
        <is>
          <t>Material utilisation yield</t>
        </is>
      </c>
      <c r="B19" s="4" t="n">
        <v>0.85</v>
      </c>
      <c r="C19" t="inlineStr">
        <is>
          <t>fraction</t>
        </is>
      </c>
      <c r="D19" s="3" t="inlineStr">
        <is>
          <t>ASSUMPTION — coating and die-cut waste</t>
        </is>
      </c>
    </row>
    <row r="20">
      <c r="A20" t="inlineStr">
        <is>
          <t>Overhead and margin multiplier</t>
        </is>
      </c>
      <c r="B20" s="4" t="n">
        <v>1.35</v>
      </c>
      <c r="C20" t="inlineStr">
        <is>
          <t>x</t>
        </is>
      </c>
      <c r="D20" s="3" t="inlineStr">
        <is>
          <t>ASSUMPTION — applied to fully loaded cost</t>
        </is>
      </c>
    </row>
    <row r="21">
      <c r="A21" s="2" t="inlineStr"/>
      <c r="C21" t="inlineStr"/>
      <c r="D21" s="3" t="inlineStr"/>
    </row>
    <row r="22">
      <c r="A22" s="2" t="inlineStr">
        <is>
          <t>APPLICATION CONTEXT</t>
        </is>
      </c>
      <c r="C22" t="inlineStr"/>
      <c r="D22" s="3" t="inlineStr"/>
    </row>
    <row r="23">
      <c r="A23" t="inlineStr">
        <is>
          <t>Produce mass per package</t>
        </is>
      </c>
      <c r="B23" s="4" t="n">
        <v>5</v>
      </c>
      <c r="C23" t="inlineStr">
        <is>
          <t>kg</t>
        </is>
      </c>
      <c r="D23" s="3" t="inlineStr">
        <is>
          <t>Set to the target commodity's carton (Section 13)</t>
        </is>
      </c>
    </row>
    <row r="24">
      <c r="A24" t="inlineStr">
        <is>
          <t>Inserts per package</t>
        </is>
      </c>
      <c r="B24" s="4" t="n">
        <v>1</v>
      </c>
      <c r="C24" t="inlineStr">
        <is>
          <t>count</t>
        </is>
      </c>
      <c r="D24" s="3" t="inlineStr">
        <is>
          <t>Design choice; revisit if dose scales with volume</t>
        </is>
      </c>
    </row>
    <row r="25">
      <c r="A25" s="2" t="inlineStr"/>
      <c r="C25" t="inlineStr"/>
      <c r="D25" s="3" t="inlineStr"/>
    </row>
    <row r="26">
      <c r="A26" s="2" t="inlineStr">
        <is>
          <t>BENCHMARK (user-supplied)</t>
        </is>
      </c>
      <c r="C26" t="inlineStr"/>
      <c r="D26" s="3" t="inlineStr"/>
    </row>
    <row r="27">
      <c r="A27" t="inlineStr">
        <is>
          <t>Incumbent consumable cost per package</t>
        </is>
      </c>
      <c r="B27" s="4" t="n">
        <v>0</v>
      </c>
      <c r="C27" t="inlineStr">
        <is>
          <t>USD/package</t>
        </is>
      </c>
      <c r="D27" s="3" t="inlineStr">
        <is>
          <t>LEAVE 0 UNLESS YOU HAVE A REAL QUOTE. No published price was retrievable; a fabricated benchmark would invalidate the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  <col width="14" customWidth="1" min="4" max="4"/>
  </cols>
  <sheetData>
    <row r="1">
      <c r="A1" s="1" t="inlineStr">
        <is>
          <t>Line</t>
        </is>
      </c>
      <c r="B1" s="1" t="inlineStr">
        <is>
          <t>Formula basis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Paper cost</t>
        </is>
      </c>
      <c r="B2">
        <f>B9/1000*B3</f>
        <v/>
      </c>
      <c r="C2" s="5">
        <f>Inputs!B9/1000*Inputs!B3</f>
        <v/>
      </c>
      <c r="D2" t="inlineStr">
        <is>
          <t>USD/m2</t>
        </is>
      </c>
    </row>
    <row r="3">
      <c r="A3" t="inlineStr">
        <is>
          <t>Complex mass in coating</t>
        </is>
      </c>
      <c r="B3">
        <f>B10*B11</f>
        <v/>
      </c>
      <c r="C3" s="5">
        <f>Inputs!B10*Inputs!B11</f>
        <v/>
      </c>
      <c r="D3" t="inlineStr">
        <is>
          <t>g/m2</t>
        </is>
      </c>
    </row>
    <row r="4">
      <c r="A4" t="inlineStr">
        <is>
          <t>Binder mass in coating</t>
        </is>
      </c>
      <c r="B4">
        <f>B10*(1-B11)</f>
        <v/>
      </c>
      <c r="C4" s="5">
        <f>Inputs!B10*(1-Inputs!B11)</f>
        <v/>
      </c>
      <c r="D4" t="inlineStr">
        <is>
          <t>g/m2</t>
        </is>
      </c>
    </row>
    <row r="5">
      <c r="A5" t="inlineStr">
        <is>
          <t>Complex cost</t>
        </is>
      </c>
      <c r="B5">
        <f>C3/1000*B5</f>
        <v/>
      </c>
      <c r="C5" s="5">
        <f>C3/1000*Inputs!B5</f>
        <v/>
      </c>
      <c r="D5" t="inlineStr">
        <is>
          <t>USD/m2</t>
        </is>
      </c>
    </row>
    <row r="6">
      <c r="A6" t="inlineStr">
        <is>
          <t>Binder cost</t>
        </is>
      </c>
      <c r="B6">
        <f>C4/1000*B4</f>
        <v/>
      </c>
      <c r="C6" s="5">
        <f>C4/1000*Inputs!B4</f>
        <v/>
      </c>
      <c r="D6" t="inlineStr">
        <is>
          <t>USD/m2</t>
        </is>
      </c>
    </row>
    <row r="7">
      <c r="A7" t="inlineStr">
        <is>
          <t>Coating + drying</t>
        </is>
      </c>
      <c r="B7">
        <f>B16</f>
        <v/>
      </c>
      <c r="C7" s="5">
        <f>Inputs!B16</f>
        <v/>
      </c>
      <c r="D7" t="inlineStr">
        <is>
          <t>USD/m2</t>
        </is>
      </c>
    </row>
    <row r="8">
      <c r="A8" t="inlineStr">
        <is>
          <t>Converting</t>
        </is>
      </c>
      <c r="B8">
        <f>B17</f>
        <v/>
      </c>
      <c r="C8" s="5">
        <f>Inputs!B17</f>
        <v/>
      </c>
      <c r="D8" t="inlineStr">
        <is>
          <t>USD/m2</t>
        </is>
      </c>
    </row>
    <row r="9">
      <c r="A9" t="inlineStr">
        <is>
          <t>Subtotal per m2 (before yield)</t>
        </is>
      </c>
      <c r="B9">
        <f>C2+C5+C6+C7+C8</f>
        <v/>
      </c>
      <c r="C9" s="5">
        <f>C2+C5+C6+C7+C8</f>
        <v/>
      </c>
      <c r="D9" t="inlineStr">
        <is>
          <t>USD/m2</t>
        </is>
      </c>
    </row>
    <row r="10">
      <c r="A10" t="inlineStr">
        <is>
          <t>Adjusted for yield</t>
        </is>
      </c>
      <c r="B10">
        <f>C9/B19</f>
        <v/>
      </c>
      <c r="C10" s="5">
        <f>C9/Inputs!B19</f>
        <v/>
      </c>
      <c r="D10" t="inlineStr">
        <is>
          <t>USD/m2</t>
        </is>
      </c>
    </row>
    <row r="11">
      <c r="A11" t="inlineStr"/>
      <c r="B11" t="inlineStr"/>
      <c r="D11" t="inlineStr"/>
    </row>
    <row r="12">
      <c r="A12" t="inlineStr">
        <is>
          <t>Cost per insert (materials+conversion)</t>
        </is>
      </c>
      <c r="B12">
        <f>C10*B13</f>
        <v/>
      </c>
      <c r="C12" s="5">
        <f>C10*Inputs!B13</f>
        <v/>
      </c>
      <c r="D12" t="inlineStr">
        <is>
          <t>USD/insert</t>
        </is>
      </c>
    </row>
    <row r="13">
      <c r="A13" t="inlineStr">
        <is>
          <t>Overwrap</t>
        </is>
      </c>
      <c r="B13">
        <f>B6</f>
        <v/>
      </c>
      <c r="C13" s="5">
        <f>Inputs!B6</f>
        <v/>
      </c>
      <c r="D13" t="inlineStr">
        <is>
          <t>USD/insert</t>
        </is>
      </c>
    </row>
    <row r="14">
      <c r="A14" t="inlineStr">
        <is>
          <t>Quality control</t>
        </is>
      </c>
      <c r="B14">
        <f>B18</f>
        <v/>
      </c>
      <c r="C14" s="5">
        <f>Inputs!B18</f>
        <v/>
      </c>
      <c r="D14" t="inlineStr">
        <is>
          <t>USD/insert</t>
        </is>
      </c>
    </row>
    <row r="15">
      <c r="A15" s="2" t="inlineStr">
        <is>
          <t>Fully loaded cost per insert</t>
        </is>
      </c>
      <c r="B15">
        <f>C12+C13+C14</f>
        <v/>
      </c>
      <c r="C15" s="5">
        <f>C12+C13+C14</f>
        <v/>
      </c>
      <c r="D15" t="inlineStr">
        <is>
          <t>USD/insert</t>
        </is>
      </c>
    </row>
    <row r="16">
      <c r="A16" s="2" t="inlineStr">
        <is>
          <t>With overhead and margin</t>
        </is>
      </c>
      <c r="B16">
        <f>C15*B20</f>
        <v/>
      </c>
      <c r="C16" s="5">
        <f>C15*Inputs!B20</f>
        <v/>
      </c>
      <c r="D16" t="inlineStr">
        <is>
          <t>USD/insert</t>
        </is>
      </c>
    </row>
    <row r="17">
      <c r="A17" t="inlineStr"/>
      <c r="B17" t="inlineStr"/>
      <c r="D17" t="inlineStr"/>
    </row>
    <row r="18">
      <c r="A18" s="2" t="inlineStr">
        <is>
          <t>Cost per package</t>
        </is>
      </c>
      <c r="B18">
        <f>C16*B24</f>
        <v/>
      </c>
      <c r="C18" s="5">
        <f>C16*Inputs!B24</f>
        <v/>
      </c>
      <c r="D18" t="inlineStr">
        <is>
          <t>USD/package</t>
        </is>
      </c>
    </row>
    <row r="19">
      <c r="A19" s="2" t="inlineStr">
        <is>
          <t>Cost per kg produce protected</t>
        </is>
      </c>
      <c r="B19">
        <f>C18/B23</f>
        <v/>
      </c>
      <c r="C19" s="5">
        <f>C18/Inputs!B23</f>
        <v/>
      </c>
      <c r="D19" t="inlineStr">
        <is>
          <t>USD/kg</t>
        </is>
      </c>
    </row>
    <row r="20">
      <c r="A20" t="inlineStr"/>
      <c r="B20" t="inlineStr"/>
      <c r="D20" t="inlineStr"/>
    </row>
    <row r="21">
      <c r="A21" t="inlineStr">
        <is>
          <t>1-MCP delivered per insert</t>
        </is>
      </c>
      <c r="B21">
        <f>C3*B13*B12*1000</f>
        <v/>
      </c>
      <c r="C21" s="5">
        <f>C3*Inputs!B13*Inputs!B12*1000</f>
        <v/>
      </c>
      <c r="D21" t="inlineStr">
        <is>
          <t>mg</t>
        </is>
      </c>
    </row>
    <row r="22">
      <c r="A22" t="inlineStr">
        <is>
          <t>Delta vs benchmark (negative = cheaper)</t>
        </is>
      </c>
      <c r="B22">
        <f>C18-B27</f>
        <v/>
      </c>
      <c r="C22" s="5">
        <f>C18-Inputs!B27</f>
        <v/>
      </c>
      <c r="D22" t="inlineStr">
        <is>
          <t>USD/package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4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Driver</t>
        </is>
      </c>
      <c r="B1" s="1" t="inlineStr">
        <is>
          <t>Why it dominates</t>
        </is>
      </c>
      <c r="C1" s="1" t="inlineStr">
        <is>
          <t>Low</t>
        </is>
      </c>
      <c r="D1" s="1" t="inlineStr">
        <is>
          <t>Base</t>
        </is>
      </c>
      <c r="E1" s="1" t="inlineStr">
        <is>
          <t>High</t>
        </is>
      </c>
    </row>
    <row r="2">
      <c r="A2" t="inlineStr">
        <is>
          <t>Complex price (USD/kg)</t>
        </is>
      </c>
      <c r="B2" s="3" t="inlineStr">
        <is>
          <t>Unverified and the largest single input; a 5x error moves the answer more than everything else combined</t>
        </is>
      </c>
      <c r="C2" t="n">
        <v>40</v>
      </c>
      <c r="D2" t="n">
        <v>120</v>
      </c>
      <c r="E2" t="n">
        <v>400</v>
      </c>
    </row>
    <row r="3">
      <c r="A3" t="inlineStr">
        <is>
          <t>Coat weight (g/m2)</t>
        </is>
      </c>
      <c r="B3" s="3" t="inlineStr">
        <is>
          <t>Scales complex usage linearly and is the main release-control lever</t>
        </is>
      </c>
      <c r="C3" t="n">
        <v>4</v>
      </c>
      <c r="D3" t="n">
        <v>10</v>
      </c>
      <c r="E3" t="n">
        <v>20</v>
      </c>
    </row>
    <row r="4">
      <c r="A4" t="inlineStr">
        <is>
          <t>Complex fraction (w/w)</t>
        </is>
      </c>
      <c r="B4" s="3" t="inlineStr">
        <is>
          <t>Scales complex usage linearly</t>
        </is>
      </c>
      <c r="C4" t="n">
        <v>0.1</v>
      </c>
      <c r="D4" t="n">
        <v>0.25</v>
      </c>
      <c r="E4" t="n">
        <v>0.4</v>
      </c>
    </row>
    <row r="5">
      <c r="A5" t="inlineStr">
        <is>
          <t>Insert area (m2)</t>
        </is>
      </c>
      <c r="B5" s="3" t="inlineStr">
        <is>
          <t>Scales total material per package</t>
        </is>
      </c>
      <c r="C5" t="n">
        <v>0.01</v>
      </c>
      <c r="D5" t="n">
        <v>0.02</v>
      </c>
      <c r="E5" t="n">
        <v>0.04</v>
      </c>
    </row>
    <row r="6">
      <c r="A6" t="inlineStr">
        <is>
          <t>Coating + drying (USD/m2)</t>
        </is>
      </c>
      <c r="B6" s="3" t="inlineStr">
        <is>
          <t>Falls sharply with volume; dominant at low volume</t>
        </is>
      </c>
      <c r="C6" t="n">
        <v>0.05</v>
      </c>
      <c r="D6" t="n">
        <v>0.15</v>
      </c>
      <c r="E6" t="n">
        <v>0.5</v>
      </c>
    </row>
    <row r="7">
      <c r="A7" t="inlineStr">
        <is>
          <t>Yield (fraction)</t>
        </is>
      </c>
      <c r="B7" s="3" t="inlineStr">
        <is>
          <t>Poor yield on a speciality active is expensive</t>
        </is>
      </c>
      <c r="C7" t="n">
        <v>0.7</v>
      </c>
      <c r="D7" t="n">
        <v>0.85</v>
      </c>
      <c r="E7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TECHNO-ECONOMIC MODEL — READ FIRST</t>
        </is>
      </c>
    </row>
    <row r="2">
      <c r="A2" t="inlineStr"/>
    </row>
    <row r="3">
      <c r="A3" t="inlineStr">
        <is>
          <t>Yellow cells on Inputs are assumptions you may edit. Blue cells are formulas.</t>
        </is>
      </c>
    </row>
    <row r="4">
      <c r="A4" t="inlineStr"/>
    </row>
    <row r="5">
      <c r="A5" t="inlineStr">
        <is>
          <t>1. Every material price here is an ASSUMPTION, not a quotation. The 1-MCP/alpha-CD</t>
        </is>
      </c>
    </row>
    <row r="6">
      <c r="A6" t="inlineStr">
        <is>
          <t xml:space="preserve">   complex price is the largest input and the least certain; it should be replaced</t>
        </is>
      </c>
    </row>
    <row r="7">
      <c r="A7" t="inlineStr">
        <is>
          <t xml:space="preserve">   with a supplier quote before any decision rests on this model.</t>
        </is>
      </c>
    </row>
    <row r="8">
      <c r="A8" t="inlineStr">
        <is>
          <t>2. The 1-MCP content of the complex (3% w/w) is an assumed order of magnitude and</t>
        </is>
      </c>
    </row>
    <row r="9">
      <c r="A9" t="inlineStr">
        <is>
          <t xml:space="preserve">   must be confirmed by assay. It does not affect cost, but it determines whether the</t>
        </is>
      </c>
    </row>
    <row r="10">
      <c r="A10" t="inlineStr">
        <is>
          <t xml:space="preserve">   delivered payload is anywhere near an effective dose.</t>
        </is>
      </c>
    </row>
    <row r="11">
      <c r="A11" t="inlineStr">
        <is>
          <t>3. No incumbent price is asserted. Published pricing for SmartFresh, HarvestHold</t>
        </is>
      </c>
    </row>
    <row r="12">
      <c r="A12" t="inlineStr">
        <is>
          <t xml:space="preserve">   Fresh, Vidre+ and Hazel 100 was not retrievable during this review, and inventing</t>
        </is>
      </c>
    </row>
    <row r="13">
      <c r="A13" t="inlineStr">
        <is>
          <t xml:space="preserve">   a benchmark would invalidate the comparison. Supply a real quote in the benchmark</t>
        </is>
      </c>
    </row>
    <row r="14">
      <c r="A14" t="inlineStr">
        <is>
          <t xml:space="preserve">   cell to activate the delta calculation.</t>
        </is>
      </c>
    </row>
    <row r="15">
      <c r="A15" t="inlineStr">
        <is>
          <t>4. Registration and compliance costs are NOT in this model. For a pesticide-active</t>
        </is>
      </c>
    </row>
    <row r="16">
      <c r="A16" t="inlineStr">
        <is>
          <t xml:space="preserve">   product they are potentially larger than manufacturing cost and are treated as a</t>
        </is>
      </c>
    </row>
    <row r="17">
      <c r="A17" t="inlineStr">
        <is>
          <t xml:space="preserve">   programme cost in Section 14, not a per-unit cost.</t>
        </is>
      </c>
    </row>
    <row r="18">
      <c r="A18" t="inlineStr">
        <is>
          <t>5. Coating and drying cost is strongly volume-sensitive. At pilot volumes the true</t>
        </is>
      </c>
    </row>
    <row r="19">
      <c r="A19" t="inlineStr">
        <is>
          <t xml:space="preserve">   figure may exceed the 'High' sensitivity case by an order of magnitude.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2026-07-31T03:15:07Z</dcterms:created>
  <dcterms:modified xsi:type="dcterms:W3CDTF">2026-07-31T03:15:07Z</dcterms:modified>
</cp:coreProperties>
</file>